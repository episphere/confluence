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pchickbp\Documents\DCEG_Data_Platforms\confluence\src\data\"/>
    </mc:Choice>
  </mc:AlternateContent>
  <xr:revisionPtr revIDLastSave="0" documentId="13_ncr:1_{17D66F7C-B2E4-4B02-BC47-ED8A21509956}" xr6:coauthVersionLast="47" xr6:coauthVersionMax="47" xr10:uidLastSave="{00000000-0000-0000-0000-000000000000}"/>
  <bookViews>
    <workbookView xWindow="-38520" yWindow="-120" windowWidth="38640" windowHeight="21120" xr2:uid="{350D2FCD-1D3B-4D9D-B201-6339E00B3D2C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Sheet1!$A$1:$C$26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8" i="1"/>
  <c r="D9" i="1"/>
  <c r="D10" i="1"/>
  <c r="D12" i="1"/>
  <c r="D14" i="1"/>
  <c r="D15" i="1"/>
  <c r="D16" i="1"/>
  <c r="D17" i="1"/>
  <c r="D18" i="1"/>
  <c r="D19" i="1"/>
  <c r="D20" i="1"/>
  <c r="D21" i="1"/>
  <c r="D22" i="1"/>
  <c r="D23" i="1"/>
  <c r="D24" i="1"/>
  <c r="D25" i="1"/>
  <c r="D2" i="1"/>
</calcChain>
</file>

<file path=xl/sharedStrings.xml><?xml version="1.0" encoding="utf-8"?>
<sst xmlns="http://schemas.openxmlformats.org/spreadsheetml/2006/main" count="105" uniqueCount="102">
  <si>
    <t>Name</t>
  </si>
  <si>
    <t>Email</t>
  </si>
  <si>
    <t>African Breast Cancer Disparities in Outcomes</t>
  </si>
  <si>
    <t>Valerie McCormack</t>
  </si>
  <si>
    <t>mccormackv@iarc.fr</t>
  </si>
  <si>
    <t>African Female Breast Cancer Study</t>
  </si>
  <si>
    <t>Clement Adebamowo</t>
  </si>
  <si>
    <t>cadebamowo@som.umaryland.edu</t>
  </si>
  <si>
    <t>Amy McCart-Reed</t>
  </si>
  <si>
    <t>amy.reed@uq.edu.au</t>
  </si>
  <si>
    <t>Brisbane Breast Bank</t>
  </si>
  <si>
    <t>Sunil Lakhani</t>
  </si>
  <si>
    <t>s.lakhani@uq.edu.au</t>
  </si>
  <si>
    <t>Jennifer Brooks</t>
  </si>
  <si>
    <t>jennifer.brooks@utoronto.ca</t>
  </si>
  <si>
    <t>Canadian Partnership for Tomorrow's Health</t>
  </si>
  <si>
    <t>Cancer in Adults Following in Utero and Early Life Exposure to Arsenic</t>
  </si>
  <si>
    <t>Estela Blanco</t>
  </si>
  <si>
    <t>estela.blanco@uc.cl</t>
  </si>
  <si>
    <t>Dezheng Huo</t>
  </si>
  <si>
    <t>dhuo@health.bsd.uchicago.edu</t>
  </si>
  <si>
    <t>Chicago Multiethnic Epidemiologic Breast Cancer Cohort</t>
  </si>
  <si>
    <t>Ann Schwartz</t>
  </si>
  <si>
    <t>schwarta@karmanos.org</t>
  </si>
  <si>
    <t>Detroit Research on Cancer Survivors</t>
  </si>
  <si>
    <t>Rajesh Dikshit</t>
  </si>
  <si>
    <t>dixr24@hotmail.com</t>
  </si>
  <si>
    <t>Development of breast cancer risk prediction model using lifestyle factors and polygenic risk score in Indian population</t>
  </si>
  <si>
    <t>Hikmat Abdel-Razeq</t>
  </si>
  <si>
    <t>habdelrazeq@khcc.jo</t>
  </si>
  <si>
    <t>Germline BRCA1/BRCA2 mutations among high risk breast cancer patients in Jordan</t>
  </si>
  <si>
    <t>mbdavis@msm.edu</t>
  </si>
  <si>
    <t>International Center for the Study of Breast Cancer Subtypes</t>
  </si>
  <si>
    <t xml:space="preserve">Sandra Perdomo </t>
  </si>
  <si>
    <t>PerdomoS@iarc.fr</t>
  </si>
  <si>
    <t>Latin American Study of Hereditary Breast and Ovarian Cancer</t>
  </si>
  <si>
    <t>Yu Chen</t>
  </si>
  <si>
    <t>Yu.Chen@nyulangone.org</t>
  </si>
  <si>
    <t xml:space="preserve">New York University Women’s Health Study </t>
  </si>
  <si>
    <t>Muhammad Usman Rashid</t>
  </si>
  <si>
    <t>usmanr@skm.org.pk</t>
  </si>
  <si>
    <t>Pakistani hospital-based breast cancer case-control study</t>
  </si>
  <si>
    <t>Larry  Kushi</t>
  </si>
  <si>
    <t>Larry.Kushi@kp.org</t>
  </si>
  <si>
    <t>Pathways Study</t>
  </si>
  <si>
    <t>Gloria Sanchez</t>
  </si>
  <si>
    <t>gloria.sanchez@udea.edu.co</t>
  </si>
  <si>
    <t>Risk factors for breast cancer in Colombia</t>
  </si>
  <si>
    <t>Christopher Li</t>
  </si>
  <si>
    <t>cili@fredhutch.org</t>
  </si>
  <si>
    <t>Seattle Area Hormone And Reproductive Epidemoiology Breast Cancer Study</t>
  </si>
  <si>
    <t>South Africa Breast Cancer and HIV Impact Study</t>
  </si>
  <si>
    <t>Sabina Rinaldi</t>
  </si>
  <si>
    <t>rinaldis@iarc.fr</t>
  </si>
  <si>
    <t>South Africa Breast Cancer Study</t>
  </si>
  <si>
    <t>South African Cancer Genetics - breast</t>
  </si>
  <si>
    <t>Christopher Mathew</t>
  </si>
  <si>
    <t>christopher.mathew@kcl.ac.uk</t>
  </si>
  <si>
    <t>Gretchen Gierach</t>
  </si>
  <si>
    <t>gierachg@mail.nih.gov</t>
  </si>
  <si>
    <t>Susan G Komen Tissue Bank</t>
  </si>
  <si>
    <t>Michele Lynn Cote</t>
  </si>
  <si>
    <t>mlcote@iu.edu</t>
  </si>
  <si>
    <t>Jonine Figueroa</t>
  </si>
  <si>
    <t>jonine.figueroa@nih.gov</t>
  </si>
  <si>
    <t>The Ghana Breast Health Study</t>
  </si>
  <si>
    <t>Katherine Nathanson</t>
  </si>
  <si>
    <t>knathans@upenn.edu</t>
  </si>
  <si>
    <t>UPENN High Risk Breast Cancer Cases</t>
  </si>
  <si>
    <t>Susan Domchek</t>
  </si>
  <si>
    <t>sdomchek@upenn.edu</t>
  </si>
  <si>
    <t>Tim Rebbeck</t>
  </si>
  <si>
    <t>Timothy_Rebbeck@dfci.harvard.edu</t>
  </si>
  <si>
    <t>Women’s Insights and Shared Experiences</t>
  </si>
  <si>
    <t>Study_1</t>
  </si>
  <si>
    <t>Melissa Boneta Davis</t>
  </si>
  <si>
    <t>Study_1 Acronym</t>
  </si>
  <si>
    <t>ChiMec</t>
  </si>
  <si>
    <t>GBHS</t>
  </si>
  <si>
    <t>NYUWHS</t>
  </si>
  <si>
    <t>Jordan</t>
  </si>
  <si>
    <t>Reproductive Epidemiology And Contraceptive Hormone Study</t>
  </si>
  <si>
    <t>REACH</t>
  </si>
  <si>
    <t>Breast Cancer Risk And Various Outcomes</t>
  </si>
  <si>
    <t>BRAVO</t>
  </si>
  <si>
    <t>Study_2</t>
  </si>
  <si>
    <t>Study_2 Acronym</t>
  </si>
  <si>
    <t>Study_3</t>
  </si>
  <si>
    <t>Study_3 Acronym</t>
  </si>
  <si>
    <t>SABCHO</t>
  </si>
  <si>
    <t>Molecular Subtypes of Premenopausal Breast Cancer in Latin American Women</t>
  </si>
  <si>
    <t>PRECAMA</t>
  </si>
  <si>
    <t>Etude de determinants du cancer du sein au Maroc</t>
  </si>
  <si>
    <t>EDSMAR</t>
  </si>
  <si>
    <t>Ben Kopchick</t>
  </si>
  <si>
    <t>kopchickbp@nih.gov</t>
  </si>
  <si>
    <t>Test Study 1</t>
  </si>
  <si>
    <t>ST1</t>
  </si>
  <si>
    <t>Test Study 2</t>
  </si>
  <si>
    <t>TS2</t>
  </si>
  <si>
    <t>Test Study 3</t>
  </si>
  <si>
    <t>TS3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</si>
</sst>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ahearntu/AppData/Local/Box/Box%20Edit/Documents/TXTVca4itEOuUeFiRZOlgQ==/Manifest%20of%20Studies%20participating%20through%20NCI.xlsx" TargetMode="External"/><Relationship Id="rId2" Type="http://schemas.openxmlformats.org/officeDocument/2006/relationships/externalLinkPath" Target="file:///C:\Users\ahearntu\AppData\Local\Box\Box%20Edit\Documents\TXTVca4itEOuUeFiRZOlgQ==\Manifest%20of%20Studies%20participating%20through%20NCI.xlsx" TargetMode="External"/><Relationship Id="rId1" Type="http://schemas.openxmlformats.org/officeDocument/2006/relationships/externalLinkPath" Target="/Users/ahearntu/AppData/Local/Box/Box%20Edit/Documents/TXTVca4itEOuUeFiRZOlgQ==/Manifest%20of%20Studies%20participating%20through%20NC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A2" t="str">
            <v>Detroit Research on Cancer Survivors</v>
          </cell>
          <cell r="C2" t="str">
            <v>Wayne State Uni</v>
          </cell>
          <cell r="D2" t="str">
            <v>Ann Schwartz</v>
          </cell>
          <cell r="E2" t="str">
            <v>schwarta@karmanos.org</v>
          </cell>
          <cell r="F2" t="str">
            <v>ROCS</v>
          </cell>
        </row>
        <row r="3">
          <cell r="A3" t="str">
            <v>CANCER IN ADULTS FOLLOWING IN UTERO AND EARLY LIFE EXPOSURE TO ARSENIC</v>
          </cell>
          <cell r="B3" t="str">
            <v>X</v>
          </cell>
          <cell r="C3" t="str">
            <v>Pontificia Universidad Católica de Chile</v>
          </cell>
          <cell r="D3" t="str">
            <v>Catterina Ferreccio
Macarena Garrido Tapia
Craig Steinmaus</v>
          </cell>
          <cell r="E3" t="str">
            <v>cferrec@med.puc.cl ; catferre@gmail.com ;
magarridot@uc.cl
craigs@berkeley.edu</v>
          </cell>
          <cell r="F3" t="str">
            <v>ARSENIC</v>
          </cell>
        </row>
        <row r="4">
          <cell r="A4" t="str">
            <v>Reproductive Epidemiology And Contraceptive Hormone Study</v>
          </cell>
          <cell r="B4" t="str">
            <v>X</v>
          </cell>
          <cell r="C4" t="str">
            <v>Fred Hutch</v>
          </cell>
          <cell r="D4" t="str">
            <v>Christopher Li</v>
          </cell>
          <cell r="E4" t="str">
            <v>cili@fredhutch.org</v>
          </cell>
          <cell r="F4" t="str">
            <v>REACH</v>
          </cell>
        </row>
        <row r="5">
          <cell r="A5" t="str">
            <v>Breast Cancer Risk And Various Outcomes</v>
          </cell>
          <cell r="B5" t="str">
            <v>X</v>
          </cell>
          <cell r="C5" t="str">
            <v>Fred Hutch</v>
          </cell>
          <cell r="D5" t="str">
            <v>Christopher Li</v>
          </cell>
          <cell r="E5" t="str">
            <v>cili@fredhutch.org</v>
          </cell>
          <cell r="F5" t="str">
            <v>BRAVO</v>
          </cell>
        </row>
        <row r="6">
          <cell r="A6" t="str">
            <v>Seattle Area Hormone And Reproductive Epidemoiology Breast Cancer Study</v>
          </cell>
          <cell r="B6" t="str">
            <v>X</v>
          </cell>
          <cell r="C6" t="str">
            <v>Fred Hutch</v>
          </cell>
          <cell r="D6" t="str">
            <v>Christopher Li</v>
          </cell>
          <cell r="E6" t="str">
            <v>cili@fredhutch.org</v>
          </cell>
          <cell r="F6" t="str">
            <v>SHARE</v>
          </cell>
        </row>
        <row r="7">
          <cell r="A7" t="str">
            <v>South African Cancer Genetics - breast</v>
          </cell>
          <cell r="C7" t="str">
            <v>Wits</v>
          </cell>
          <cell r="D7" t="str">
            <v>Christopher Mathew</v>
          </cell>
          <cell r="E7" t="str">
            <v>christopher.mathew@kcl.ac.uk</v>
          </cell>
          <cell r="F7" t="str">
            <v>SACGEN-B</v>
          </cell>
        </row>
        <row r="8">
          <cell r="A8" t="str">
            <v>African Female Breast Cancer Study</v>
          </cell>
          <cell r="C8" t="str">
            <v>U of Maryland</v>
          </cell>
          <cell r="D8" t="str">
            <v>Clement Adebamowo</v>
          </cell>
          <cell r="E8" t="str">
            <v>cadebamowo@som.umaryland.edu</v>
          </cell>
          <cell r="F8" t="str">
            <v>ABRECANE</v>
          </cell>
        </row>
        <row r="9">
          <cell r="A9" t="str">
            <v>University of Chicago</v>
          </cell>
          <cell r="B9" t="str">
            <v>X</v>
          </cell>
          <cell r="C9" t="str">
            <v>U of Chicago</v>
          </cell>
          <cell r="D9" t="str">
            <v>Dezheng Huo</v>
          </cell>
          <cell r="E9" t="str">
            <v>dhuo@health.bsd.uchicago.edu</v>
          </cell>
          <cell r="F9" t="str">
            <v>Uchicago</v>
          </cell>
        </row>
        <row r="10">
          <cell r="A10" t="str">
            <v>Risk factors for breast cancer in Colombia</v>
          </cell>
          <cell r="B10" t="str">
            <v>X</v>
          </cell>
          <cell r="C10" t="str">
            <v>Universidad de Antioquia</v>
          </cell>
          <cell r="D10" t="str">
            <v>Gloria Sanchez</v>
          </cell>
          <cell r="E10" t="str">
            <v>gloria.sanchez@udea.edu</v>
          </cell>
          <cell r="F10" t="str">
            <v>CAMACOL</v>
          </cell>
        </row>
        <row r="11">
          <cell r="B11" t="str">
            <v>X</v>
          </cell>
          <cell r="D11" t="str">
            <v>Hikmat</v>
          </cell>
        </row>
        <row r="12">
          <cell r="A12" t="str">
            <v>Canadian Partnership for Tomorrow's Health</v>
          </cell>
          <cell r="B12" t="str">
            <v>X</v>
          </cell>
          <cell r="C12" t="str">
            <v>U of Toronto</v>
          </cell>
          <cell r="D12" t="str">
            <v>Jennifer Brooks
Philip Adwalla</v>
          </cell>
          <cell r="E12" t="str">
            <v>jennifer.brooks@utoronto.ca
Philip.Awadalla@oicr.on.ca</v>
          </cell>
          <cell r="F12" t="str">
            <v xml:space="preserve">CanPath </v>
          </cell>
        </row>
        <row r="13">
          <cell r="A13" t="str">
            <v>Susan G Komen Tissue Bank</v>
          </cell>
          <cell r="C13" t="str">
            <v>Iowa U</v>
          </cell>
          <cell r="D13" t="str">
            <v>Jill Henry</v>
          </cell>
          <cell r="E13" t="str">
            <v>jihenry@iu.edu</v>
          </cell>
          <cell r="F13" t="str">
            <v>Komen</v>
          </cell>
        </row>
        <row r="14">
          <cell r="A14" t="str">
            <v>Collaborative Studies of Breast Cancer Risk</v>
          </cell>
          <cell r="B14" t="str">
            <v>X</v>
          </cell>
          <cell r="C14" t="str">
            <v>MSKCC</v>
          </cell>
          <cell r="D14" t="str">
            <v>Ken Offit</v>
          </cell>
          <cell r="E14" t="str">
            <v>offitk@mskcc.org</v>
          </cell>
          <cell r="F14" t="str">
            <v>MSCC_CGRL</v>
          </cell>
        </row>
        <row r="15">
          <cell r="A15" t="str">
            <v>Pathways Study</v>
          </cell>
          <cell r="B15" t="str">
            <v>X</v>
          </cell>
          <cell r="C15" t="str">
            <v>Kaiser</v>
          </cell>
          <cell r="D15" t="str">
            <v>Lary Kushi</v>
          </cell>
          <cell r="E15" t="str">
            <v>larry.kushi@kp.org</v>
          </cell>
          <cell r="F15" t="str">
            <v>Pathways</v>
          </cell>
        </row>
        <row r="16">
          <cell r="B16" t="str">
            <v>X</v>
          </cell>
          <cell r="C16" t="str">
            <v>U of Colorado</v>
          </cell>
          <cell r="D16" t="str">
            <v>Lisa Hines</v>
          </cell>
          <cell r="E16" t="str">
            <v>lhines@uccs.edu</v>
          </cell>
          <cell r="F16" t="str">
            <v>4-Corners</v>
          </cell>
        </row>
        <row r="17">
          <cell r="A17" t="str">
            <v>Etude de determinants du cancer du sein au Maroc</v>
          </cell>
          <cell r="C17" t="str">
            <v>IARC</v>
          </cell>
          <cell r="D17" t="str">
            <v>Marc Gunter</v>
          </cell>
          <cell r="E17" t="str">
            <v>GunterM@iarc.fr</v>
          </cell>
          <cell r="F17" t="str">
            <v>EDSMAR</v>
          </cell>
        </row>
        <row r="18">
          <cell r="A18" t="str">
            <v>South Africa Breast Cancer and HIV Impact Study</v>
          </cell>
          <cell r="C18" t="str">
            <v>Wits</v>
          </cell>
          <cell r="D18" t="str">
            <v>Maureen Joffe</v>
          </cell>
          <cell r="E18" t="str">
            <v>mjoffe@witshealth.co.za</v>
          </cell>
          <cell r="F18" t="str">
            <v>SABCHO</v>
          </cell>
        </row>
        <row r="19">
          <cell r="A19" t="str">
            <v>International Center for the Study of Breast Cancer Subtypes</v>
          </cell>
          <cell r="C19" t="str">
            <v>Cornell</v>
          </cell>
          <cell r="D19" t="str">
            <v xml:space="preserve">Melissa Boneta Davis </v>
          </cell>
          <cell r="E19" t="str">
            <v>mbd4001@med.cornell.edu</v>
          </cell>
          <cell r="F19" t="str">
            <v>ICSBCS</v>
          </cell>
        </row>
        <row r="20">
          <cell r="A20" t="str">
            <v>Ghana Breast Health Study</v>
          </cell>
          <cell r="C20" t="str">
            <v>NCI</v>
          </cell>
          <cell r="D20" t="str">
            <v>Montserrat Garcia-Closas</v>
          </cell>
          <cell r="E20" t="str">
            <v>montserrat.garcia-closas@nih.gov</v>
          </cell>
          <cell r="F20" t="str">
            <v>GBHS</v>
          </cell>
        </row>
        <row r="21">
          <cell r="A21" t="str">
            <v>Pakistani hospital-based breast cancer case-control study</v>
          </cell>
          <cell r="B21" t="str">
            <v>X</v>
          </cell>
          <cell r="C21" t="str">
            <v>Shaukat Khanum Hospital</v>
          </cell>
          <cell r="D21" t="str">
            <v>Muhammad Usman Rashid
Ute Hamann</v>
          </cell>
          <cell r="E21" t="str">
            <v>usmanr@skm.org.pk
u.hamann@dkfz-heidelberg.de</v>
          </cell>
          <cell r="F21" t="str">
            <v>PAK_BCCC</v>
          </cell>
        </row>
        <row r="22">
          <cell r="A22" t="str">
            <v>Development of breast cancer risk prediction model using lifestyle factors and polygenic risk score in Indian population</v>
          </cell>
          <cell r="C22" t="str">
            <v>Tata Memorial Hospital</v>
          </cell>
          <cell r="D22" t="str">
            <v>Rajesh Dikshit</v>
          </cell>
          <cell r="E22" t="str">
            <v>dixr24@hotmail.com</v>
          </cell>
          <cell r="F22" t="str">
            <v>IndianBCRP</v>
          </cell>
        </row>
        <row r="23">
          <cell r="A23" t="str">
            <v>Molecular Subtypes of Premenopausal Breast Cancer in Latin American Women</v>
          </cell>
          <cell r="B23" t="str">
            <v>X</v>
          </cell>
          <cell r="C23" t="str">
            <v>IARC</v>
          </cell>
          <cell r="D23" t="str">
            <v>Sabina Rinaldi</v>
          </cell>
          <cell r="E23" t="str">
            <v>rinaldis@iarc.fr</v>
          </cell>
          <cell r="F23" t="str">
            <v>PRECAMA</v>
          </cell>
        </row>
        <row r="24">
          <cell r="A24" t="str">
            <v>South Africa Breast Cancer Study</v>
          </cell>
          <cell r="C24" t="str">
            <v>IARC</v>
          </cell>
          <cell r="D24" t="str">
            <v>Sabina Rinaldi</v>
          </cell>
          <cell r="E24" t="str">
            <v>rinaldis@iarc.fr</v>
          </cell>
          <cell r="F24" t="str">
            <v>SABC</v>
          </cell>
        </row>
        <row r="25">
          <cell r="A25" t="str">
            <v>Latin American Study of Hereditary Breast and Ovarian Cancer</v>
          </cell>
          <cell r="B25" t="str">
            <v>X</v>
          </cell>
          <cell r="C25" t="str">
            <v>IARC</v>
          </cell>
          <cell r="D25" t="str">
            <v xml:space="preserve">Sandra Perdomo </v>
          </cell>
          <cell r="E25" t="str">
            <v>PerdomoS@iarc.fr</v>
          </cell>
          <cell r="F25" t="str">
            <v>LACAM</v>
          </cell>
        </row>
        <row r="26">
          <cell r="A26" t="str">
            <v>Brisbane Breast Bank</v>
          </cell>
          <cell r="B26" t="str">
            <v>X</v>
          </cell>
          <cell r="C26" t="str">
            <v>Royal Brisbane and Women’s Hospital</v>
          </cell>
          <cell r="D26" t="str">
            <v>Sunil Lakhani
Kaltin Ferguson
Amy McCart-Reed</v>
          </cell>
          <cell r="E26" t="str">
            <v>s.lakhani@uq.edu.au
k.ferguson2@uq.edu.au
amy.reed@uq.edu.au</v>
          </cell>
          <cell r="F26" t="str">
            <v>BRISBANE</v>
          </cell>
        </row>
        <row r="27">
          <cell r="A27" t="str">
            <v>UPENN High Risk Breast Cancer Cases</v>
          </cell>
          <cell r="B27" t="str">
            <v>X</v>
          </cell>
          <cell r="C27" t="str">
            <v>UPENN</v>
          </cell>
          <cell r="D27" t="str">
            <v>Susan Domchek
Katherine Nathanson</v>
          </cell>
          <cell r="E27" t="str">
            <v>susan.domchek@uphs.upenn.edu
knathans@upenn.edu</v>
          </cell>
          <cell r="F27" t="str">
            <v>UPENN_HighRIsk</v>
          </cell>
        </row>
        <row r="28">
          <cell r="A28" t="str">
            <v>Women’s Insights and Shared Experiences</v>
          </cell>
          <cell r="B28" t="str">
            <v>X</v>
          </cell>
          <cell r="C28" t="str">
            <v>HSPH</v>
          </cell>
          <cell r="D28" t="str">
            <v>Tim Rebbeck</v>
          </cell>
          <cell r="E28" t="str">
            <v>Timothy_Rebbeck@dfci.harvard.edu</v>
          </cell>
          <cell r="F28" t="str">
            <v>WISE</v>
          </cell>
        </row>
        <row r="29">
          <cell r="A29" t="str">
            <v>African Breast Cancer Disparities in Outcomes</v>
          </cell>
          <cell r="C29" t="str">
            <v>IARC</v>
          </cell>
          <cell r="D29" t="str">
            <v>Valerie McCormack
Isabel Dos Santos Silva</v>
          </cell>
          <cell r="E29" t="str">
            <v>mccormackv@iarc.fr
isabel.silva@lshtma.ac.uk</v>
          </cell>
          <cell r="F29" t="str">
            <v>ABC-DO</v>
          </cell>
        </row>
        <row r="30">
          <cell r="A30" t="str">
            <v>NYU Women's Health Study (part of R01 risk prediction)</v>
          </cell>
          <cell r="B30" t="str">
            <v>X</v>
          </cell>
          <cell r="C30" t="str">
            <v>NYU</v>
          </cell>
          <cell r="D30" t="str">
            <v>Yu Chen</v>
          </cell>
          <cell r="E30" t="str">
            <v>Yu.Chen@nyulangone.org</v>
          </cell>
          <cell r="F30" t="str">
            <v>NYUWHS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opchickbp@nih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2664F-2A48-4061-8ACE-ED4424A887C9}">
  <dimension ref="A1:H27"/>
  <sheetViews>
    <sheetView tabSelected="1" workbookViewId="0">
      <selection activeCell="E30" sqref="E30"/>
    </sheetView>
  </sheetViews>
  <sheetFormatPr defaultRowHeight="14.5" x14ac:dyDescent="0.35"/>
  <cols>
    <col min="1" max="1" width="40.54296875" bestFit="1" customWidth="1"/>
    <col min="2" max="2" width="41.26953125" bestFit="1" customWidth="1"/>
    <col min="3" max="3" width="103.7265625" bestFit="1" customWidth="1"/>
    <col min="4" max="4" width="103.7265625" customWidth="1"/>
    <col min="5" max="5" width="72.26953125" bestFit="1" customWidth="1"/>
    <col min="6" max="6" width="15.81640625" bestFit="1" customWidth="1"/>
    <col min="7" max="7" width="46.54296875" bestFit="1" customWidth="1"/>
    <col min="8" max="8" width="15.81640625" bestFit="1" customWidth="1"/>
  </cols>
  <sheetData>
    <row r="1" spans="1:8" x14ac:dyDescent="0.35">
      <c r="A1" t="s">
        <v>0</v>
      </c>
      <c r="B1" t="s">
        <v>1</v>
      </c>
      <c r="C1" t="s">
        <v>74</v>
      </c>
      <c r="D1" t="s">
        <v>76</v>
      </c>
      <c r="E1" t="s">
        <v>85</v>
      </c>
      <c r="F1" t="s">
        <v>86</v>
      </c>
      <c r="G1" t="s">
        <v>87</v>
      </c>
      <c r="H1" t="s">
        <v>88</v>
      </c>
    </row>
    <row r="2" spans="1:8" x14ac:dyDescent="0.35">
      <c r="A2" t="s">
        <v>8</v>
      </c>
      <c r="B2" t="s">
        <v>9</v>
      </c>
      <c r="C2" t="s">
        <v>10</v>
      </c>
      <c r="D2" t="str">
        <f>VLOOKUP(C2,[1]Sheet1!$A$2:$F$30,6,FALSE)</f>
        <v>BRISBANE</v>
      </c>
    </row>
    <row r="3" spans="1:8" x14ac:dyDescent="0.35">
      <c r="A3" t="s">
        <v>22</v>
      </c>
      <c r="B3" t="s">
        <v>23</v>
      </c>
      <c r="C3" t="s">
        <v>24</v>
      </c>
      <c r="D3" t="str">
        <f>VLOOKUP(C3,[1]Sheet1!$A$2:$F$30,6,FALSE)</f>
        <v>ROCS</v>
      </c>
    </row>
    <row r="4" spans="1:8" x14ac:dyDescent="0.35">
      <c r="A4" t="s">
        <v>48</v>
      </c>
      <c r="B4" t="s">
        <v>49</v>
      </c>
      <c r="C4" t="s">
        <v>50</v>
      </c>
      <c r="D4" t="str">
        <f>VLOOKUP(C4,[1]Sheet1!$A$2:$F$30,6,FALSE)</f>
        <v>SHARE</v>
      </c>
      <c r="E4" s="1" t="s">
        <v>81</v>
      </c>
      <c r="F4" t="s">
        <v>82</v>
      </c>
      <c r="G4" s="1" t="s">
        <v>83</v>
      </c>
      <c r="H4" t="s">
        <v>84</v>
      </c>
    </row>
    <row r="5" spans="1:8" x14ac:dyDescent="0.35">
      <c r="A5" t="s">
        <v>56</v>
      </c>
      <c r="B5" t="s">
        <v>57</v>
      </c>
      <c r="C5" t="s">
        <v>55</v>
      </c>
      <c r="D5" t="str">
        <f>VLOOKUP(C5,[1]Sheet1!$A$2:$F$30,6,FALSE)</f>
        <v>SACGEN-B</v>
      </c>
      <c r="E5" s="2" t="s">
        <v>51</v>
      </c>
      <c r="F5" t="s">
        <v>89</v>
      </c>
    </row>
    <row r="6" spans="1:8" x14ac:dyDescent="0.35">
      <c r="A6" t="s">
        <v>6</v>
      </c>
      <c r="B6" t="s">
        <v>7</v>
      </c>
      <c r="C6" t="s">
        <v>5</v>
      </c>
      <c r="D6" t="str">
        <f>VLOOKUP(C6,[1]Sheet1!$A$2:$F$30,6,FALSE)</f>
        <v>ABRECANE</v>
      </c>
    </row>
    <row r="7" spans="1:8" x14ac:dyDescent="0.35">
      <c r="A7" t="s">
        <v>19</v>
      </c>
      <c r="B7" t="s">
        <v>20</v>
      </c>
      <c r="C7" t="s">
        <v>21</v>
      </c>
      <c r="D7" t="s">
        <v>77</v>
      </c>
    </row>
    <row r="8" spans="1:8" x14ac:dyDescent="0.35">
      <c r="A8" t="s">
        <v>17</v>
      </c>
      <c r="B8" t="s">
        <v>18</v>
      </c>
      <c r="C8" t="s">
        <v>16</v>
      </c>
      <c r="D8" t="str">
        <f>VLOOKUP(C8,[1]Sheet1!$A$2:$F$30,6,FALSE)</f>
        <v>ARSENIC</v>
      </c>
    </row>
    <row r="9" spans="1:8" x14ac:dyDescent="0.35">
      <c r="A9" t="s">
        <v>45</v>
      </c>
      <c r="B9" t="s">
        <v>46</v>
      </c>
      <c r="C9" t="s">
        <v>47</v>
      </c>
      <c r="D9" t="str">
        <f>VLOOKUP(C9,[1]Sheet1!$A$2:$F$30,6,FALSE)</f>
        <v>CAMACOL</v>
      </c>
    </row>
    <row r="10" spans="1:8" x14ac:dyDescent="0.35">
      <c r="A10" t="s">
        <v>58</v>
      </c>
      <c r="B10" t="s">
        <v>59</v>
      </c>
      <c r="C10" t="s">
        <v>60</v>
      </c>
      <c r="D10" t="str">
        <f>VLOOKUP(C10,[1]Sheet1!$A$2:$F$30,6,FALSE)</f>
        <v>Komen</v>
      </c>
    </row>
    <row r="11" spans="1:8" x14ac:dyDescent="0.35">
      <c r="A11" t="s">
        <v>28</v>
      </c>
      <c r="B11" t="s">
        <v>29</v>
      </c>
      <c r="C11" t="s">
        <v>30</v>
      </c>
      <c r="D11" t="s">
        <v>80</v>
      </c>
    </row>
    <row r="12" spans="1:8" x14ac:dyDescent="0.35">
      <c r="A12" t="s">
        <v>13</v>
      </c>
      <c r="B12" t="s">
        <v>14</v>
      </c>
      <c r="C12" t="s">
        <v>15</v>
      </c>
      <c r="D12" t="str">
        <f>VLOOKUP(C12,[1]Sheet1!$A$2:$F$30,6,FALSE)</f>
        <v xml:space="preserve">CanPath </v>
      </c>
    </row>
    <row r="13" spans="1:8" x14ac:dyDescent="0.35">
      <c r="A13" t="s">
        <v>63</v>
      </c>
      <c r="B13" t="s">
        <v>64</v>
      </c>
      <c r="C13" t="s">
        <v>65</v>
      </c>
      <c r="D13" t="s">
        <v>78</v>
      </c>
    </row>
    <row r="14" spans="1:8" x14ac:dyDescent="0.35">
      <c r="A14" t="s">
        <v>66</v>
      </c>
      <c r="B14" t="s">
        <v>67</v>
      </c>
      <c r="C14" t="s">
        <v>68</v>
      </c>
      <c r="D14" t="str">
        <f>VLOOKUP(C14,[1]Sheet1!$A$2:$F$30,6,FALSE)</f>
        <v>UPENN_HighRIsk</v>
      </c>
    </row>
    <row r="15" spans="1:8" x14ac:dyDescent="0.35">
      <c r="A15" t="s">
        <v>42</v>
      </c>
      <c r="B15" t="s">
        <v>43</v>
      </c>
      <c r="C15" t="s">
        <v>44</v>
      </c>
      <c r="D15" t="str">
        <f>VLOOKUP(C15,[1]Sheet1!$A$2:$F$30,6,FALSE)</f>
        <v>Pathways</v>
      </c>
    </row>
    <row r="16" spans="1:8" x14ac:dyDescent="0.35">
      <c r="A16" t="s">
        <v>75</v>
      </c>
      <c r="B16" t="s">
        <v>31</v>
      </c>
      <c r="C16" t="s">
        <v>32</v>
      </c>
      <c r="D16" t="str">
        <f>VLOOKUP(C16,[1]Sheet1!$A$2:$F$30,6,FALSE)</f>
        <v>ICSBCS</v>
      </c>
    </row>
    <row r="17" spans="1:8" x14ac:dyDescent="0.35">
      <c r="A17" t="s">
        <v>61</v>
      </c>
      <c r="B17" t="s">
        <v>62</v>
      </c>
      <c r="C17" t="s">
        <v>60</v>
      </c>
      <c r="D17" t="str">
        <f>VLOOKUP(C17,[1]Sheet1!$A$2:$F$30,6,FALSE)</f>
        <v>Komen</v>
      </c>
    </row>
    <row r="18" spans="1:8" x14ac:dyDescent="0.35">
      <c r="A18" t="s">
        <v>39</v>
      </c>
      <c r="B18" t="s">
        <v>40</v>
      </c>
      <c r="C18" t="s">
        <v>41</v>
      </c>
      <c r="D18" t="str">
        <f>VLOOKUP(C18,[1]Sheet1!$A$2:$F$30,6,FALSE)</f>
        <v>PAK_BCCC</v>
      </c>
    </row>
    <row r="19" spans="1:8" x14ac:dyDescent="0.35">
      <c r="A19" t="s">
        <v>25</v>
      </c>
      <c r="B19" t="s">
        <v>26</v>
      </c>
      <c r="C19" t="s">
        <v>27</v>
      </c>
      <c r="D19" t="str">
        <f>VLOOKUP(C19,[1]Sheet1!$A$2:$F$30,6,FALSE)</f>
        <v>IndianBCRP</v>
      </c>
    </row>
    <row r="20" spans="1:8" x14ac:dyDescent="0.35">
      <c r="A20" t="s">
        <v>52</v>
      </c>
      <c r="B20" t="s">
        <v>53</v>
      </c>
      <c r="C20" t="s">
        <v>54</v>
      </c>
      <c r="D20" t="str">
        <f>VLOOKUP(C20,[1]Sheet1!$A$2:$F$30,6,FALSE)</f>
        <v>SABC</v>
      </c>
      <c r="E20" s="2" t="s">
        <v>90</v>
      </c>
      <c r="F20" t="s">
        <v>91</v>
      </c>
      <c r="G20" s="2" t="s">
        <v>92</v>
      </c>
      <c r="H20" s="2" t="s">
        <v>93</v>
      </c>
    </row>
    <row r="21" spans="1:8" x14ac:dyDescent="0.35">
      <c r="A21" t="s">
        <v>33</v>
      </c>
      <c r="B21" t="s">
        <v>34</v>
      </c>
      <c r="C21" t="s">
        <v>35</v>
      </c>
      <c r="D21" t="str">
        <f>VLOOKUP(C21,[1]Sheet1!$A$2:$F$30,6,FALSE)</f>
        <v>LACAM</v>
      </c>
    </row>
    <row r="22" spans="1:8" x14ac:dyDescent="0.35">
      <c r="A22" t="s">
        <v>11</v>
      </c>
      <c r="B22" t="s">
        <v>12</v>
      </c>
      <c r="C22" t="s">
        <v>10</v>
      </c>
      <c r="D22" t="str">
        <f>VLOOKUP(C22,[1]Sheet1!$A$2:$F$30,6,FALSE)</f>
        <v>BRISBANE</v>
      </c>
    </row>
    <row r="23" spans="1:8" x14ac:dyDescent="0.35">
      <c r="A23" t="s">
        <v>69</v>
      </c>
      <c r="B23" t="s">
        <v>70</v>
      </c>
      <c r="C23" t="s">
        <v>68</v>
      </c>
      <c r="D23" t="str">
        <f>VLOOKUP(C23,[1]Sheet1!$A$2:$F$30,6,FALSE)</f>
        <v>UPENN_HighRIsk</v>
      </c>
    </row>
    <row r="24" spans="1:8" x14ac:dyDescent="0.35">
      <c r="A24" t="s">
        <v>71</v>
      </c>
      <c r="B24" t="s">
        <v>72</v>
      </c>
      <c r="C24" t="s">
        <v>73</v>
      </c>
      <c r="D24" t="str">
        <f>VLOOKUP(C24,[1]Sheet1!$A$2:$F$30,6,FALSE)</f>
        <v>WISE</v>
      </c>
    </row>
    <row r="25" spans="1:8" x14ac:dyDescent="0.35">
      <c r="A25" t="s">
        <v>3</v>
      </c>
      <c r="B25" t="s">
        <v>4</v>
      </c>
      <c r="C25" t="s">
        <v>2</v>
      </c>
      <c r="D25" t="str">
        <f>VLOOKUP(C25,[1]Sheet1!$A$2:$F$30,6,FALSE)</f>
        <v>ABC-DO</v>
      </c>
    </row>
    <row r="26" spans="1:8" x14ac:dyDescent="0.35">
      <c r="A26" t="s">
        <v>36</v>
      </c>
      <c r="B26" t="s">
        <v>37</v>
      </c>
      <c r="C26" t="s">
        <v>38</v>
      </c>
      <c r="D26" t="s">
        <v>79</v>
      </c>
    </row>
    <row r="27" spans="1:8" x14ac:dyDescent="0.35">
      <c r="A27" t="s">
        <v>94</v>
      </c>
      <c r="B27" s="3" t="s">
        <v>95</v>
      </c>
      <c r="C27" t="s">
        <v>96</v>
      </c>
      <c r="D27" t="s">
        <v>97</v>
      </c>
      <c r="E27" t="s">
        <v>98</v>
      </c>
      <c r="F27" t="s">
        <v>99</v>
      </c>
      <c r="G27" t="s">
        <v>100</v>
      </c>
      <c r="H27" t="s">
        <v>101</v>
      </c>
    </row>
  </sheetData>
  <autoFilter ref="A1:C26" xr:uid="{1072664F-2A48-4061-8ACE-ED4424A887C9}">
    <sortState xmlns:xlrd2="http://schemas.microsoft.com/office/spreadsheetml/2017/richdata2" ref="A2:C26">
      <sortCondition ref="A1:A26"/>
    </sortState>
  </autoFilter>
  <hyperlinks>
    <hyperlink ref="B27" r:id="rId1" xr:uid="{3B97577C-AFDE-4D69-B344-83DB1C69D0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National Cancer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Ahearn, Thomas (NIH/NCI) [E]</dc:creator>
  <cp:lastModifiedBy>Kopchick, Benjamin (NIH/NCI) [C]</cp:lastModifiedBy>
  <dcterms:created xsi:type="dcterms:W3CDTF">2026-06-02T18:03:31Z</dcterms:created>
  <dcterms:modified xsi:type="dcterms:W3CDTF">2026-06-30T17:08:39Z</dcterms:modified>
</cp:coreProperties>
</file>